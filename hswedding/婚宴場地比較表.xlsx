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arrycheng/Documents/Claude/Projects/婚禮專案規劃/"/>
    </mc:Choice>
  </mc:AlternateContent>
  <xr:revisionPtr revIDLastSave="0" documentId="13_ncr:1_{FC8C0623-3CB0-F54E-9F2A-66FB4F1D931C}" xr6:coauthVersionLast="47" xr6:coauthVersionMax="47" xr10:uidLastSave="{00000000-0000-0000-0000-000000000000}"/>
  <bookViews>
    <workbookView xWindow="2080" yWindow="1880" windowWidth="26720" windowHeight="15540" tabRatio="500" xr2:uid="{00000000-000D-0000-FFFF-FFFF00000000}"/>
  </bookViews>
  <sheets>
    <sheet name="場地比較" sheetId="1" r:id="rId1"/>
    <sheet name="計分總評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E12" i="2"/>
  <c r="D12" i="2"/>
  <c r="C12" i="2"/>
</calcChain>
</file>

<file path=xl/sharedStrings.xml><?xml version="1.0" encoding="utf-8"?>
<sst xmlns="http://schemas.openxmlformats.org/spreadsheetml/2006/main" count="190" uniqueCount="115">
  <si>
    <r>
      <rPr>
        <b/>
        <sz val="13"/>
        <color rgb="FFFFFFFF"/>
        <rFont val="Noto Sans CJK SC"/>
        <family val="2"/>
      </rPr>
      <t xml:space="preserve">婚宴場地比較表 </t>
    </r>
    <r>
      <rPr>
        <b/>
        <sz val="13"/>
        <color rgb="FFFFFFFF"/>
        <rFont val="Arial"/>
        <family val="2"/>
      </rPr>
      <t>· Harry &amp; Sincer</t>
    </r>
    <r>
      <rPr>
        <b/>
        <sz val="13"/>
        <color rgb="FFFFFFFF"/>
        <rFont val="Noto Sans CJK SC"/>
        <family val="2"/>
      </rPr>
      <t xml:space="preserve">　｜　婚期 </t>
    </r>
    <r>
      <rPr>
        <b/>
        <sz val="13"/>
        <color rgb="FFFFFFFF"/>
        <rFont val="Arial"/>
        <family val="2"/>
      </rPr>
      <t>2027/5/16</t>
    </r>
    <r>
      <rPr>
        <b/>
        <sz val="13"/>
        <color rgb="FFFFFFFF"/>
        <rFont val="Noto Sans CJK SC"/>
        <family val="2"/>
      </rPr>
      <t>（週日</t>
    </r>
    <r>
      <rPr>
        <b/>
        <sz val="13"/>
        <color rgb="FFFFFFFF"/>
        <rFont val="Arial"/>
        <family val="2"/>
      </rPr>
      <t>·</t>
    </r>
    <r>
      <rPr>
        <b/>
        <sz val="13"/>
        <color rgb="FFFFFFFF"/>
        <rFont val="Noto Sans CJK SC"/>
        <family val="2"/>
      </rPr>
      <t>午宴，午時</t>
    </r>
    <r>
      <rPr>
        <b/>
        <sz val="13"/>
        <color rgb="FFFFFFFF"/>
        <rFont val="Arial"/>
        <family val="2"/>
      </rPr>
      <t>11–13</t>
    </r>
    <r>
      <rPr>
        <b/>
        <sz val="13"/>
        <color rgb="FFFFFFFF"/>
        <rFont val="Noto Sans CJK SC"/>
        <family val="2"/>
      </rPr>
      <t>）</t>
    </r>
    <r>
      <rPr>
        <b/>
        <sz val="13"/>
        <color rgb="FFFFFFFF"/>
        <rFont val="Arial"/>
        <family val="2"/>
      </rPr>
      <t xml:space="preserve">· </t>
    </r>
    <r>
      <rPr>
        <b/>
        <sz val="13"/>
        <color rgb="FFFFFFFF"/>
        <rFont val="Noto Sans CJK SC"/>
        <family val="2"/>
      </rPr>
      <t>廣州</t>
    </r>
  </si>
  <si>
    <r>
      <rPr>
        <i/>
        <sz val="9"/>
        <color rgb="FF5C4A2A"/>
        <rFont val="Noto Sans CJK SC"/>
        <family val="2"/>
      </rPr>
      <t>填寫說明：黃底欄位為填寫區，逐項填入各場地資訊；在意度★越多越重要。要新增場地就填「場地③</t>
    </r>
    <r>
      <rPr>
        <i/>
        <sz val="9"/>
        <color rgb="FF5C4A2A"/>
        <rFont val="Arial"/>
        <family val="2"/>
      </rPr>
      <t>/④</t>
    </r>
    <r>
      <rPr>
        <i/>
        <sz val="9"/>
        <color rgb="FF5C4A2A"/>
        <rFont val="Noto Sans CJK SC"/>
        <family val="2"/>
      </rPr>
      <t>」欄或另複製欄。命理偏好：主色紅橘黃綠暖色、燈光暖、避冷藍白灰。範例：檔期→「可訂／已被預訂」；每桌價格→「</t>
    </r>
    <r>
      <rPr>
        <i/>
        <sz val="9"/>
        <color rgb="FF5C4A2A"/>
        <rFont val="Arial"/>
        <family val="2"/>
      </rPr>
      <t>¥3,880/</t>
    </r>
    <r>
      <rPr>
        <i/>
        <sz val="9"/>
        <color rgb="FF5C4A2A"/>
        <rFont val="Noto Sans CJK SC"/>
        <family val="2"/>
      </rPr>
      <t>桌（含</t>
    </r>
    <r>
      <rPr>
        <i/>
        <sz val="9"/>
        <color rgb="FF5C4A2A"/>
        <rFont val="Arial"/>
        <family val="2"/>
      </rPr>
      <t>A</t>
    </r>
    <r>
      <rPr>
        <i/>
        <sz val="9"/>
        <color rgb="FF5C4A2A"/>
        <rFont val="Noto Sans CJK SC"/>
        <family val="2"/>
      </rPr>
      <t>菜單）</t>
    </r>
    <r>
      <rPr>
        <i/>
        <sz val="9"/>
        <color rgb="FF5C4A2A"/>
        <rFont val="Arial"/>
        <family val="2"/>
      </rPr>
      <t>+10%</t>
    </r>
    <r>
      <rPr>
        <i/>
        <sz val="9"/>
        <color rgb="FF5C4A2A"/>
        <rFont val="Noto Sans CJK SC"/>
        <family val="2"/>
      </rPr>
      <t>服務費」。</t>
    </r>
  </si>
  <si>
    <t>分類</t>
  </si>
  <si>
    <t>項目</t>
  </si>
  <si>
    <t>在意度</t>
  </si>
  <si>
    <t>華南植物園湖心亭</t>
  </si>
  <si>
    <t>鳴泉居酒店</t>
  </si>
  <si>
    <t>場地③（新增）</t>
  </si>
  <si>
    <t>場地④（新增）</t>
  </si>
  <si>
    <t>備註</t>
  </si>
  <si>
    <t>基本</t>
  </si>
  <si>
    <r>
      <rPr>
        <sz val="10"/>
        <rFont val="Noto Sans CJK SC"/>
        <family val="2"/>
      </rPr>
      <t xml:space="preserve">檔期 </t>
    </r>
    <r>
      <rPr>
        <sz val="10"/>
        <rFont val="Arial"/>
        <family val="2"/>
      </rPr>
      <t>5/16</t>
    </r>
    <r>
      <rPr>
        <sz val="10"/>
        <rFont val="Noto Sans CJK SC"/>
        <family val="2"/>
      </rPr>
      <t>（日）午宴</t>
    </r>
  </si>
  <si>
    <t>★★★</t>
  </si>
  <si>
    <t>沒檔期其他免談</t>
  </si>
  <si>
    <t>勘場日期</t>
  </si>
  <si>
    <t>聯絡人／電話</t>
  </si>
  <si>
    <t>地址</t>
  </si>
  <si>
    <t>交通住宿</t>
  </si>
  <si>
    <t>距市區車程</t>
  </si>
  <si>
    <t>外地賓客多</t>
  </si>
  <si>
    <t>距白雲機場車程</t>
  </si>
  <si>
    <t>★★</t>
  </si>
  <si>
    <t>最近地鐵／有無接駁</t>
  </si>
  <si>
    <t>館內／周邊住宿</t>
  </si>
  <si>
    <t>賓客過夜</t>
  </si>
  <si>
    <t>停車位數量</t>
  </si>
  <si>
    <t>無障礙／電梯</t>
  </si>
  <si>
    <t>長輩</t>
  </si>
  <si>
    <t>容量</t>
  </si>
  <si>
    <t>最大桌數</t>
  </si>
  <si>
    <r>
      <rPr>
        <sz val="10"/>
        <rFont val="Noto Sans CJK SC"/>
        <family val="2"/>
      </rPr>
      <t>每桌人數（</t>
    </r>
    <r>
      <rPr>
        <sz val="10"/>
        <rFont val="Arial"/>
        <family val="2"/>
      </rPr>
      <t>10/12</t>
    </r>
    <r>
      <rPr>
        <sz val="10"/>
        <rFont val="Noto Sans CJK SC"/>
        <family val="2"/>
      </rPr>
      <t>）</t>
    </r>
  </si>
  <si>
    <t>最低消費（桌數）</t>
  </si>
  <si>
    <t>需包場／包場費</t>
  </si>
  <si>
    <t>費用</t>
  </si>
  <si>
    <t>每桌價格（菜單等級）</t>
  </si>
  <si>
    <t>含哪級菜單</t>
  </si>
  <si>
    <r>
      <rPr>
        <sz val="10"/>
        <rFont val="Noto Sans CJK SC"/>
        <family val="2"/>
      </rPr>
      <t>服務費（一般＋</t>
    </r>
    <r>
      <rPr>
        <sz val="10"/>
        <rFont val="Arial"/>
        <family val="2"/>
      </rPr>
      <t>10%</t>
    </r>
    <r>
      <rPr>
        <sz val="10"/>
        <rFont val="Noto Sans CJK SC"/>
        <family val="2"/>
      </rPr>
      <t>）</t>
    </r>
  </si>
  <si>
    <t>場地費</t>
  </si>
  <si>
    <t>訂金／尾款／退訂條款</t>
  </si>
  <si>
    <t>白紙黑字</t>
  </si>
  <si>
    <t>旺季／假日加價</t>
  </si>
  <si>
    <t>場地與氛圍</t>
  </si>
  <si>
    <t>室內／戶外／半戶外</t>
  </si>
  <si>
    <t>雨天備案</t>
  </si>
  <si>
    <t>戶外必問</t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</si>
  <si>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月天氣（濕熱）因應</t>
    </r>
  </si>
  <si>
    <t>空調／遮陽</t>
  </si>
  <si>
    <t>天花高度／空間感</t>
  </si>
  <si>
    <t>★</t>
  </si>
  <si>
    <t>進場動線／舞台</t>
  </si>
  <si>
    <t>園景／湖景拍照點</t>
  </si>
  <si>
    <t>這類場地優勢</t>
  </si>
  <si>
    <t>餐飲</t>
  </si>
  <si>
    <t>可否試菜</t>
  </si>
  <si>
    <t>粵菜菜色風格</t>
  </si>
  <si>
    <t>酒水可否自帶／開瓶費</t>
  </si>
  <si>
    <t>素食／過敏／兒童餐</t>
  </si>
  <si>
    <t>賓客需求</t>
  </si>
  <si>
    <t>命理配合</t>
  </si>
  <si>
    <t>主色可否暖色調</t>
  </si>
  <si>
    <t>命理</t>
  </si>
  <si>
    <t>燈光可否調暖</t>
  </si>
  <si>
    <t>明火（蠟燭／鹽燈）可否</t>
  </si>
  <si>
    <t>布置硬體</t>
  </si>
  <si>
    <t>可否自帶布置／花藝廠商</t>
  </si>
  <si>
    <t>或限定配合</t>
  </si>
  <si>
    <t>背板／花牆／布置限制</t>
  </si>
  <si>
    <r>
      <rPr>
        <sz val="10"/>
        <rFont val="Noto Sans CJK SC"/>
        <family val="2"/>
      </rPr>
      <t>音響／投影／</t>
    </r>
    <r>
      <rPr>
        <sz val="10"/>
        <rFont val="Arial"/>
        <family val="2"/>
      </rPr>
      <t>LED</t>
    </r>
    <r>
      <rPr>
        <sz val="10"/>
        <rFont val="Noto Sans CJK SC"/>
        <family val="2"/>
      </rPr>
      <t>／麥克風</t>
    </r>
  </si>
  <si>
    <t>新娘休息室／化妝間</t>
  </si>
  <si>
    <t>服務</t>
  </si>
  <si>
    <t>現場婚禮統籌／人員</t>
  </si>
  <si>
    <t>進場布置時間／超時費</t>
  </si>
  <si>
    <t>婚宴可用時長</t>
  </si>
  <si>
    <t>口碑／評價／作品照</t>
  </si>
  <si>
    <t>現場拍照／影片連結</t>
  </si>
  <si>
    <t>存手機相簿</t>
  </si>
  <si>
    <r>
      <rPr>
        <b/>
        <sz val="12"/>
        <color rgb="FFFFFFFF"/>
        <rFont val="Noto Sans CJK SC"/>
        <family val="2"/>
      </rPr>
      <t xml:space="preserve">加權計分（各面向填 </t>
    </r>
    <r>
      <rPr>
        <b/>
        <sz val="12"/>
        <color rgb="FFFFFFFF"/>
        <rFont val="Arial"/>
        <family val="2"/>
      </rPr>
      <t xml:space="preserve">1–5 </t>
    </r>
    <r>
      <rPr>
        <b/>
        <sz val="12"/>
        <color rgb="FFFFFFFF"/>
        <rFont val="Noto Sans CJK SC"/>
        <family val="2"/>
      </rPr>
      <t>分，總分自動加權計算）</t>
    </r>
  </si>
  <si>
    <r>
      <rPr>
        <i/>
        <sz val="9"/>
        <color rgb="FF5C4A2A"/>
        <rFont val="Noto Sans CJK SC"/>
        <family val="2"/>
      </rPr>
      <t xml:space="preserve">填法：黃底欄填 </t>
    </r>
    <r>
      <rPr>
        <i/>
        <sz val="9"/>
        <color rgb="FF5C4A2A"/>
        <rFont val="Arial"/>
        <family val="2"/>
      </rPr>
      <t>1</t>
    </r>
    <r>
      <rPr>
        <i/>
        <sz val="9"/>
        <color rgb="FF5C4A2A"/>
        <rFont val="Noto Sans CJK SC"/>
        <family val="2"/>
      </rPr>
      <t>（差）～</t>
    </r>
    <r>
      <rPr>
        <i/>
        <sz val="9"/>
        <color rgb="FF5C4A2A"/>
        <rFont val="Arial"/>
        <family val="2"/>
      </rPr>
      <t>5</t>
    </r>
    <r>
      <rPr>
        <i/>
        <sz val="9"/>
        <color rgb="FF5C4A2A"/>
        <rFont val="Noto Sans CJK SC"/>
        <family val="2"/>
      </rPr>
      <t>（優）。權重可自行調整。總分＝</t>
    </r>
    <r>
      <rPr>
        <i/>
        <sz val="9"/>
        <color rgb="FF5C4A2A"/>
        <rFont val="Arial"/>
        <family val="2"/>
      </rPr>
      <t>Σ(</t>
    </r>
    <r>
      <rPr>
        <i/>
        <sz val="9"/>
        <color rgb="FF5C4A2A"/>
        <rFont val="Noto Sans CJK SC"/>
        <family val="2"/>
      </rPr>
      <t>權重</t>
    </r>
    <r>
      <rPr>
        <i/>
        <sz val="9"/>
        <color rgb="FF5C4A2A"/>
        <rFont val="Arial"/>
        <family val="2"/>
      </rPr>
      <t>×</t>
    </r>
    <r>
      <rPr>
        <i/>
        <sz val="9"/>
        <color rgb="FF5C4A2A"/>
        <rFont val="Noto Sans CJK SC"/>
        <family val="2"/>
      </rPr>
      <t>分數</t>
    </r>
    <r>
      <rPr>
        <i/>
        <sz val="9"/>
        <color rgb="FF5C4A2A"/>
        <rFont val="Arial"/>
        <family val="2"/>
      </rPr>
      <t>)</t>
    </r>
    <r>
      <rPr>
        <i/>
        <sz val="9"/>
        <color rgb="FF5C4A2A"/>
        <rFont val="Noto Sans CJK SC"/>
        <family val="2"/>
      </rPr>
      <t>。</t>
    </r>
  </si>
  <si>
    <t>面向</t>
  </si>
  <si>
    <t>權重</t>
  </si>
  <si>
    <t>氛圍／美感</t>
  </si>
  <si>
    <t>交通／住宿便利</t>
  </si>
  <si>
    <t>容量是否足夠</t>
  </si>
  <si>
    <t>餐飲（試菜）</t>
  </si>
  <si>
    <t>價格划算度</t>
  </si>
  <si>
    <t>命理暖色配合</t>
  </si>
  <si>
    <t>服務彈性</t>
  </si>
  <si>
    <t>直覺喜歡度</t>
  </si>
  <si>
    <t>總分（加權）</t>
  </si>
  <si>
    <t>100-150</t>
    <phoneticPr fontId="15" type="noConversion"/>
  </si>
  <si>
    <t>足夠</t>
    <phoneticPr fontId="15" type="noConversion"/>
  </si>
  <si>
    <t>有</t>
    <phoneticPr fontId="15" type="noConversion"/>
  </si>
  <si>
    <r>
      <t>18</t>
    </r>
    <r>
      <rPr>
        <sz val="11"/>
        <color theme="1"/>
        <rFont val="Microsoft JhengHei"/>
        <family val="2"/>
      </rPr>
      <t>間8折</t>
    </r>
    <phoneticPr fontId="15" type="noConversion"/>
  </si>
  <si>
    <r>
      <t>8</t>
    </r>
    <r>
      <rPr>
        <sz val="11"/>
        <color theme="1"/>
        <rFont val="Microsoft JhengHei"/>
        <family val="2"/>
      </rPr>
      <t>萬/5萬</t>
    </r>
    <phoneticPr fontId="15" type="noConversion"/>
  </si>
  <si>
    <t>26800早鳥</t>
    <phoneticPr fontId="15" type="noConversion"/>
  </si>
  <si>
    <r>
      <t xml:space="preserve">10%+6% </t>
    </r>
    <r>
      <rPr>
        <sz val="11"/>
        <color theme="1"/>
        <rFont val="Microsoft JhengHei"/>
        <family val="2"/>
      </rPr>
      <t>可以折</t>
    </r>
    <phoneticPr fontId="15" type="noConversion"/>
  </si>
  <si>
    <t>5000/ 90%/ 10%</t>
    <phoneticPr fontId="15" type="noConversion"/>
  </si>
  <si>
    <r>
      <t xml:space="preserve">30%/50%/20% </t>
    </r>
    <r>
      <rPr>
        <sz val="11"/>
        <color theme="1"/>
        <rFont val="Microsoft JhengHei"/>
        <family val="2"/>
      </rPr>
      <t>典禮前全付</t>
    </r>
    <phoneticPr fontId="15" type="noConversion"/>
  </si>
  <si>
    <t>化妝間近</t>
    <phoneticPr fontId="15" type="noConversion"/>
  </si>
  <si>
    <t>化妝間要回到房間</t>
    <phoneticPr fontId="15" type="noConversion"/>
  </si>
  <si>
    <t>18-22</t>
    <phoneticPr fontId="15" type="noConversion"/>
  </si>
  <si>
    <t>整天</t>
    <phoneticPr fontId="15" type="noConversion"/>
  </si>
  <si>
    <t>極高</t>
    <phoneticPr fontId="15" type="noConversion"/>
  </si>
  <si>
    <t>室內</t>
    <phoneticPr fontId="15" type="noConversion"/>
  </si>
  <si>
    <t>Ｘ</t>
    <phoneticPr fontId="15" type="noConversion"/>
  </si>
  <si>
    <t>室內但會跟人共用</t>
    <phoneticPr fontId="15" type="noConversion"/>
  </si>
  <si>
    <t>可</t>
    <phoneticPr fontId="15" type="noConversion"/>
  </si>
  <si>
    <t>潮汕菜</t>
    <phoneticPr fontId="15" type="noConversion"/>
  </si>
  <si>
    <t>可以</t>
    <phoneticPr fontId="15" type="noConversion"/>
  </si>
  <si>
    <t>園景840 湖景910 網路5100</t>
    <phoneticPr fontId="15" type="noConversion"/>
  </si>
  <si>
    <t>網路 7000</t>
    <phoneticPr fontId="15" type="noConversion"/>
  </si>
  <si>
    <t>東山口七號私廚</t>
    <phoneticPr fontId="15" type="noConversion"/>
  </si>
  <si>
    <t>馨園</t>
    <phoneticPr fontId="15" type="noConversion"/>
  </si>
  <si>
    <t>明園</t>
    <phoneticPr fontId="15" type="noConversion"/>
  </si>
  <si>
    <t>榕空間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</si>
</sst>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3"/>
      <color rgb="FFFFFFFF"/>
      <name val="Noto Sans CJK SC"/>
      <family val="2"/>
    </font>
    <font>
      <b/>
      <sz val="13"/>
      <color rgb="FFFFFFFF"/>
      <name val="Arial"/>
      <family val="2"/>
    </font>
    <font>
      <i/>
      <sz val="9"/>
      <color rgb="FF5C4A2A"/>
      <name val="Noto Sans CJK SC"/>
      <family val="2"/>
    </font>
    <font>
      <i/>
      <sz val="9"/>
      <color rgb="FF5C4A2A"/>
      <name val="Arial"/>
      <family val="2"/>
    </font>
    <font>
      <b/>
      <sz val="11"/>
      <color rgb="FFFFFFFF"/>
      <name val="Noto Sans CJK SC"/>
      <family val="2"/>
    </font>
    <font>
      <b/>
      <sz val="9"/>
      <color rgb="FF5C4A2A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sz val="10"/>
      <color rgb="FFC4622D"/>
      <name val="Arial"/>
      <family val="2"/>
    </font>
    <font>
      <i/>
      <sz val="9"/>
      <color rgb="FF8B7355"/>
      <name val="Noto Sans CJK SC"/>
      <family val="2"/>
    </font>
    <font>
      <b/>
      <sz val="12"/>
      <color rgb="FFFFFFFF"/>
      <name val="Noto Sans CJK SC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9"/>
      <name val="Wawati TC"/>
      <family val="3"/>
      <charset val="136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9A7B2F"/>
        <bgColor rgb="FF8B7355"/>
      </patternFill>
    </fill>
    <fill>
      <patternFill patternType="solid">
        <fgColor rgb="FFF5EDD6"/>
        <bgColor rgb="FFF1E9D6"/>
      </patternFill>
    </fill>
    <fill>
      <patternFill patternType="solid">
        <fgColor rgb="FFC9A84C"/>
        <bgColor rgb="FFFF9900"/>
      </patternFill>
    </fill>
    <fill>
      <patternFill patternType="solid">
        <fgColor rgb="FFF1E9D6"/>
        <bgColor rgb="FFF0E8D2"/>
      </patternFill>
    </fill>
    <fill>
      <patternFill patternType="solid">
        <fgColor rgb="FFFFF9E3"/>
        <bgColor rgb="FFFFFFFF"/>
      </patternFill>
    </fill>
    <fill>
      <patternFill patternType="solid">
        <fgColor rgb="FFE9EFDD"/>
        <bgColor rgb="FFF1E9D6"/>
      </patternFill>
    </fill>
    <fill>
      <patternFill patternType="solid">
        <fgColor rgb="FFF1E4D0"/>
        <bgColor rgb="FFEDE3D0"/>
      </patternFill>
    </fill>
    <fill>
      <patternFill patternType="solid">
        <fgColor rgb="FFF5E0D6"/>
        <bgColor rgb="FFF1E4D0"/>
      </patternFill>
    </fill>
    <fill>
      <patternFill patternType="solid">
        <fgColor rgb="FFE4EAF0"/>
        <bgColor rgb="FFE9EFDD"/>
      </patternFill>
    </fill>
    <fill>
      <patternFill patternType="solid">
        <fgColor rgb="FFF0E8D2"/>
        <bgColor rgb="FFF1E9D6"/>
      </patternFill>
    </fill>
    <fill>
      <patternFill patternType="solid">
        <fgColor rgb="FFF6E6DA"/>
        <bgColor rgb="FFF1E9D6"/>
      </patternFill>
    </fill>
    <fill>
      <patternFill patternType="solid">
        <fgColor rgb="FFEDE3D0"/>
        <bgColor rgb="FFF1E4D0"/>
      </patternFill>
    </fill>
    <fill>
      <patternFill patternType="solid">
        <fgColor rgb="FFE8E4D6"/>
        <bgColor rgb="FFEDE3D0"/>
      </patternFill>
    </fill>
    <fill>
      <patternFill patternType="solid">
        <fgColor rgb="FF2C2416"/>
        <bgColor rgb="FF003300"/>
      </patternFill>
    </fill>
  </fills>
  <borders count="2">
    <border>
      <left/>
      <right/>
      <top/>
      <bottom/>
      <diagonal/>
    </border>
    <border>
      <left style="thin">
        <color rgb="FFD8CBA8"/>
      </left>
      <right style="thin">
        <color rgb="FFD8CBA8"/>
      </right>
      <top style="thin">
        <color rgb="FFD8CBA8"/>
      </top>
      <bottom style="thin">
        <color rgb="FFD8CBA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1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15" borderId="1" xfId="0" applyFont="1" applyFill="1" applyBorder="1"/>
    <xf numFmtId="0" fontId="0" fillId="15" borderId="1" xfId="0" applyFill="1" applyBorder="1"/>
    <xf numFmtId="0" fontId="14" fillId="15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left" vertical="center" wrapText="1"/>
    </xf>
    <xf numFmtId="9" fontId="0" fillId="6" borderId="1" xfId="0" applyNumberForma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E8D2"/>
      <rgbColor rgb="FFFF00FF"/>
      <rgbColor rgb="FF00FFFF"/>
      <rgbColor rgb="FF800000"/>
      <rgbColor rgb="FF008000"/>
      <rgbColor rgb="FF000080"/>
      <rgbColor rgb="FF9A7B2F"/>
      <rgbColor rgb="FF800080"/>
      <rgbColor rgb="FF008080"/>
      <rgbColor rgb="FFD8CBA8"/>
      <rgbColor rgb="FF8B7355"/>
      <rgbColor rgb="FF9999FF"/>
      <rgbColor rgb="FF993366"/>
      <rgbColor rgb="FFFFF9E3"/>
      <rgbColor rgb="FFE4EAF0"/>
      <rgbColor rgb="FF660066"/>
      <rgbColor rgb="FFFF8080"/>
      <rgbColor rgb="FF0066CC"/>
      <rgbColor rgb="FFE8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D6"/>
      <rgbColor rgb="FFE9EFDD"/>
      <rgbColor rgb="FFF5EDD6"/>
      <rgbColor rgb="FFEDE3D0"/>
      <rgbColor rgb="FFF1E4D0"/>
      <rgbColor rgb="FFF6E6DA"/>
      <rgbColor rgb="FFF5E0D6"/>
      <rgbColor rgb="FF3366FF"/>
      <rgbColor rgb="FF33CCCC"/>
      <rgbColor rgb="FF99CC00"/>
      <rgbColor rgb="FFFFCC00"/>
      <rgbColor rgb="FFFF9900"/>
      <rgbColor rgb="FFC4622D"/>
      <rgbColor rgb="FF666699"/>
      <rgbColor rgb="FFC9A84C"/>
      <rgbColor rgb="FF003366"/>
      <rgbColor rgb="FF339966"/>
      <rgbColor rgb="FF003300"/>
      <rgbColor rgb="FF2C2416"/>
      <rgbColor rgb="FF993300"/>
      <rgbColor rgb="FF993366"/>
      <rgbColor rgb="FF333399"/>
      <rgbColor rgb="FF5C4A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zoomScale="123" zoomScaleNormal="123" workbookViewId="0">
      <pane xSplit="3" ySplit="3" topLeftCell="D18" activePane="bottomRight" state="frozen"/>
      <selection pane="topRight" activeCell="D1" sqref="D1"/>
      <selection pane="bottomLeft" activeCell="A4" sqref="A4"/>
      <selection pane="bottomRight" activeCell="G19" sqref="G19"/>
    </sheetView>
  </sheetViews>
  <sheetFormatPr baseColWidth="10" defaultColWidth="8.6640625" defaultRowHeight="15"/>
  <cols>
    <col min="1" max="1" width="12" customWidth="1"/>
    <col min="2" max="2" width="24" customWidth="1"/>
    <col min="3" max="3" width="8" customWidth="1"/>
    <col min="4" max="4" width="20" customWidth="1"/>
    <col min="5" max="5" width="23" customWidth="1"/>
    <col min="6" max="9" width="16" customWidth="1"/>
    <col min="10" max="10" width="20" customWidth="1"/>
  </cols>
  <sheetData>
    <row r="1" spans="1:10" ht="2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42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4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111</v>
      </c>
      <c r="G3" s="1" t="s">
        <v>114</v>
      </c>
      <c r="H3" s="1" t="s">
        <v>113</v>
      </c>
      <c r="I3" s="1" t="s">
        <v>112</v>
      </c>
      <c r="J3" s="1" t="s">
        <v>9</v>
      </c>
    </row>
    <row r="4" spans="1:10">
      <c r="A4" s="2" t="s">
        <v>10</v>
      </c>
      <c r="B4" s="3" t="s">
        <v>11</v>
      </c>
      <c r="C4" s="4" t="s">
        <v>12</v>
      </c>
      <c r="D4" s="5"/>
      <c r="E4" s="5"/>
      <c r="F4" s="5"/>
      <c r="G4" s="5"/>
      <c r="H4" s="5"/>
      <c r="I4" s="5"/>
      <c r="J4" s="6" t="s">
        <v>13</v>
      </c>
    </row>
    <row r="5" spans="1:10">
      <c r="A5" s="2" t="s">
        <v>10</v>
      </c>
      <c r="B5" s="3" t="s">
        <v>14</v>
      </c>
      <c r="C5" s="4"/>
      <c r="D5" s="5"/>
      <c r="E5" s="5"/>
      <c r="F5" s="5"/>
      <c r="G5" s="5"/>
      <c r="H5" s="5"/>
      <c r="I5" s="5"/>
      <c r="J5" s="6"/>
    </row>
    <row r="6" spans="1:10">
      <c r="A6" s="2" t="s">
        <v>10</v>
      </c>
      <c r="B6" s="3" t="s">
        <v>15</v>
      </c>
      <c r="C6" s="4"/>
      <c r="D6" s="5"/>
      <c r="E6" s="5"/>
      <c r="F6" s="5"/>
      <c r="G6" s="5"/>
      <c r="H6" s="5"/>
      <c r="I6" s="5"/>
      <c r="J6" s="6"/>
    </row>
    <row r="7" spans="1:10">
      <c r="A7" s="2" t="s">
        <v>10</v>
      </c>
      <c r="B7" s="3" t="s">
        <v>16</v>
      </c>
      <c r="C7" s="4"/>
      <c r="D7" s="5"/>
      <c r="E7" s="5"/>
      <c r="F7" s="5"/>
      <c r="G7" s="5"/>
      <c r="H7" s="5"/>
      <c r="I7" s="5"/>
      <c r="J7" s="6"/>
    </row>
    <row r="8" spans="1:10">
      <c r="A8" s="7" t="s">
        <v>17</v>
      </c>
      <c r="B8" s="3" t="s">
        <v>18</v>
      </c>
      <c r="C8" s="4" t="s">
        <v>12</v>
      </c>
      <c r="D8" s="5"/>
      <c r="E8" s="5"/>
      <c r="F8" s="5"/>
      <c r="G8" s="5"/>
      <c r="H8" s="5"/>
      <c r="I8" s="5"/>
      <c r="J8" s="6" t="s">
        <v>19</v>
      </c>
    </row>
    <row r="9" spans="1:10">
      <c r="A9" s="7" t="s">
        <v>17</v>
      </c>
      <c r="B9" s="3" t="s">
        <v>20</v>
      </c>
      <c r="C9" s="4" t="s">
        <v>21</v>
      </c>
      <c r="D9" s="5"/>
      <c r="E9" s="5"/>
      <c r="F9" s="5"/>
      <c r="G9" s="5"/>
      <c r="H9" s="5"/>
      <c r="I9" s="5"/>
      <c r="J9" s="6"/>
    </row>
    <row r="10" spans="1:10" ht="18">
      <c r="A10" s="7" t="s">
        <v>17</v>
      </c>
      <c r="B10" s="3" t="s">
        <v>22</v>
      </c>
      <c r="C10" s="4" t="s">
        <v>21</v>
      </c>
      <c r="D10" s="23" t="s">
        <v>91</v>
      </c>
      <c r="E10" s="5"/>
      <c r="F10" s="5"/>
      <c r="G10" s="5"/>
      <c r="H10" s="5"/>
      <c r="I10" s="5"/>
      <c r="J10" s="6"/>
    </row>
    <row r="11" spans="1:10" ht="18">
      <c r="A11" s="7" t="s">
        <v>17</v>
      </c>
      <c r="B11" s="3" t="s">
        <v>23</v>
      </c>
      <c r="C11" s="4" t="s">
        <v>12</v>
      </c>
      <c r="D11" s="5" t="s">
        <v>92</v>
      </c>
      <c r="E11" s="23" t="s">
        <v>90</v>
      </c>
      <c r="F11" s="5"/>
      <c r="G11" s="5"/>
      <c r="H11" s="5"/>
      <c r="I11" s="5"/>
      <c r="J11" s="6" t="s">
        <v>24</v>
      </c>
    </row>
    <row r="12" spans="1:10" ht="18">
      <c r="A12" s="7" t="s">
        <v>17</v>
      </c>
      <c r="B12" s="3" t="s">
        <v>25</v>
      </c>
      <c r="C12" s="4" t="s">
        <v>21</v>
      </c>
      <c r="D12" s="23" t="s">
        <v>90</v>
      </c>
      <c r="E12" s="23" t="s">
        <v>90</v>
      </c>
      <c r="F12" s="5"/>
      <c r="G12" s="5"/>
      <c r="H12" s="5"/>
      <c r="I12" s="5"/>
      <c r="J12" s="6"/>
    </row>
    <row r="13" spans="1:10">
      <c r="A13" s="7" t="s">
        <v>17</v>
      </c>
      <c r="B13" s="3" t="s">
        <v>26</v>
      </c>
      <c r="C13" s="4" t="s">
        <v>21</v>
      </c>
      <c r="D13" s="5"/>
      <c r="E13" s="5"/>
      <c r="F13" s="5"/>
      <c r="G13" s="5"/>
      <c r="H13" s="5"/>
      <c r="I13" s="5"/>
      <c r="J13" s="6" t="s">
        <v>27</v>
      </c>
    </row>
    <row r="14" spans="1:10" ht="16">
      <c r="A14" s="8" t="s">
        <v>28</v>
      </c>
      <c r="B14" s="3" t="s">
        <v>29</v>
      </c>
      <c r="C14" s="4" t="s">
        <v>12</v>
      </c>
      <c r="D14" s="5" t="s">
        <v>89</v>
      </c>
      <c r="E14" s="5" t="s">
        <v>89</v>
      </c>
      <c r="F14" s="5"/>
      <c r="G14" s="5"/>
      <c r="H14" s="5"/>
      <c r="I14" s="5"/>
      <c r="J14" s="6"/>
    </row>
    <row r="15" spans="1:10">
      <c r="A15" s="8" t="s">
        <v>28</v>
      </c>
      <c r="B15" s="3" t="s">
        <v>30</v>
      </c>
      <c r="C15" s="4" t="s">
        <v>21</v>
      </c>
      <c r="D15" s="5"/>
      <c r="E15" s="5"/>
      <c r="F15" s="5"/>
      <c r="G15" s="5"/>
      <c r="H15" s="5"/>
      <c r="I15" s="5"/>
      <c r="J15" s="6"/>
    </row>
    <row r="16" spans="1:10" ht="18">
      <c r="A16" s="8" t="s">
        <v>28</v>
      </c>
      <c r="B16" s="3" t="s">
        <v>31</v>
      </c>
      <c r="C16" s="4" t="s">
        <v>21</v>
      </c>
      <c r="D16" s="25" t="s">
        <v>104</v>
      </c>
      <c r="E16" s="5" t="s">
        <v>93</v>
      </c>
      <c r="F16" s="5"/>
      <c r="G16" s="5"/>
      <c r="H16" s="5"/>
      <c r="I16" s="5"/>
      <c r="J16" s="6"/>
    </row>
    <row r="17" spans="1:10" ht="18">
      <c r="A17" s="8" t="s">
        <v>28</v>
      </c>
      <c r="B17" s="3" t="s">
        <v>32</v>
      </c>
      <c r="C17" s="4" t="s">
        <v>21</v>
      </c>
      <c r="D17" s="23" t="s">
        <v>94</v>
      </c>
      <c r="E17" s="5"/>
      <c r="F17" s="5"/>
      <c r="G17" s="5"/>
      <c r="H17" s="5"/>
      <c r="I17" s="5"/>
      <c r="J17" s="6"/>
    </row>
    <row r="18" spans="1:10">
      <c r="A18" s="9" t="s">
        <v>33</v>
      </c>
      <c r="B18" s="3" t="s">
        <v>34</v>
      </c>
      <c r="C18" s="4" t="s">
        <v>12</v>
      </c>
      <c r="D18" s="5">
        <v>5880</v>
      </c>
      <c r="E18" s="5">
        <v>7999</v>
      </c>
      <c r="F18" s="5"/>
      <c r="G18" s="5"/>
      <c r="H18" s="5"/>
      <c r="I18" s="5"/>
      <c r="J18" s="6" t="s">
        <v>35</v>
      </c>
    </row>
    <row r="19" spans="1:10" ht="18">
      <c r="A19" s="9" t="s">
        <v>33</v>
      </c>
      <c r="B19" s="3" t="s">
        <v>36</v>
      </c>
      <c r="C19" s="4" t="s">
        <v>21</v>
      </c>
      <c r="D19" s="24">
        <v>0.1</v>
      </c>
      <c r="E19" s="5" t="s">
        <v>95</v>
      </c>
      <c r="F19" s="5"/>
      <c r="G19" s="5"/>
      <c r="H19" s="5"/>
      <c r="I19" s="5"/>
      <c r="J19" s="6"/>
    </row>
    <row r="20" spans="1:10">
      <c r="A20" s="9" t="s">
        <v>33</v>
      </c>
      <c r="B20" s="3" t="s">
        <v>37</v>
      </c>
      <c r="C20" s="4" t="s">
        <v>21</v>
      </c>
      <c r="D20" s="5"/>
      <c r="E20" s="5"/>
      <c r="F20" s="5"/>
      <c r="G20" s="5"/>
      <c r="H20" s="5"/>
      <c r="I20" s="5"/>
      <c r="J20" s="6"/>
    </row>
    <row r="21" spans="1:10" ht="18">
      <c r="A21" s="9" t="s">
        <v>33</v>
      </c>
      <c r="B21" s="3" t="s">
        <v>38</v>
      </c>
      <c r="C21" s="4" t="s">
        <v>12</v>
      </c>
      <c r="D21" s="5" t="s">
        <v>96</v>
      </c>
      <c r="E21" s="5" t="s">
        <v>97</v>
      </c>
      <c r="F21" s="5"/>
      <c r="G21" s="5"/>
      <c r="H21" s="5"/>
      <c r="I21" s="5"/>
      <c r="J21" s="6" t="s">
        <v>39</v>
      </c>
    </row>
    <row r="22" spans="1:10" ht="36">
      <c r="A22" s="9" t="s">
        <v>33</v>
      </c>
      <c r="B22" s="3" t="s">
        <v>40</v>
      </c>
      <c r="C22" s="4" t="s">
        <v>21</v>
      </c>
      <c r="D22" s="25" t="s">
        <v>109</v>
      </c>
      <c r="E22" s="25" t="s">
        <v>110</v>
      </c>
      <c r="F22" s="5"/>
      <c r="G22" s="5"/>
      <c r="H22" s="5"/>
      <c r="I22" s="5"/>
      <c r="J22" s="6"/>
    </row>
    <row r="23" spans="1:10" ht="18">
      <c r="A23" s="10" t="s">
        <v>41</v>
      </c>
      <c r="B23" s="3" t="s">
        <v>42</v>
      </c>
      <c r="C23" s="4" t="s">
        <v>12</v>
      </c>
      <c r="D23" s="23" t="s">
        <v>103</v>
      </c>
      <c r="E23" s="23" t="s">
        <v>105</v>
      </c>
      <c r="F23" s="5"/>
      <c r="G23" s="5"/>
      <c r="H23" s="5"/>
      <c r="I23" s="5"/>
      <c r="J23" s="6"/>
    </row>
    <row r="24" spans="1:10">
      <c r="A24" s="10" t="s">
        <v>41</v>
      </c>
      <c r="B24" s="3" t="s">
        <v>43</v>
      </c>
      <c r="C24" s="4" t="s">
        <v>12</v>
      </c>
      <c r="D24" s="5"/>
      <c r="E24" s="5"/>
      <c r="F24" s="5"/>
      <c r="G24" s="5"/>
      <c r="H24" s="5"/>
      <c r="I24" s="5"/>
      <c r="J24" s="6" t="s">
        <v>44</v>
      </c>
    </row>
    <row r="25" spans="1:10">
      <c r="A25" s="10" t="s">
        <v>41</v>
      </c>
      <c r="B25" s="11" t="s">
        <v>45</v>
      </c>
      <c r="C25" s="4" t="s">
        <v>21</v>
      </c>
      <c r="D25" s="5"/>
      <c r="E25" s="5"/>
      <c r="F25" s="5"/>
      <c r="G25" s="5"/>
      <c r="H25" s="5"/>
      <c r="I25" s="5"/>
      <c r="J25" s="6" t="s">
        <v>46</v>
      </c>
    </row>
    <row r="26" spans="1:10" ht="18">
      <c r="A26" s="10" t="s">
        <v>41</v>
      </c>
      <c r="B26" s="3" t="s">
        <v>47</v>
      </c>
      <c r="C26" s="4" t="s">
        <v>48</v>
      </c>
      <c r="D26" s="5"/>
      <c r="E26" s="23" t="s">
        <v>102</v>
      </c>
      <c r="F26" s="5"/>
      <c r="G26" s="5"/>
      <c r="H26" s="5"/>
      <c r="I26" s="5"/>
      <c r="J26" s="6"/>
    </row>
    <row r="27" spans="1:10">
      <c r="A27" s="10" t="s">
        <v>41</v>
      </c>
      <c r="B27" s="3" t="s">
        <v>49</v>
      </c>
      <c r="C27" s="4" t="s">
        <v>21</v>
      </c>
      <c r="D27" s="5"/>
      <c r="E27" s="5"/>
      <c r="F27" s="5"/>
      <c r="G27" s="5"/>
      <c r="H27" s="5"/>
      <c r="I27" s="5"/>
      <c r="J27" s="6"/>
    </row>
    <row r="28" spans="1:10" ht="18">
      <c r="A28" s="10" t="s">
        <v>41</v>
      </c>
      <c r="B28" s="3" t="s">
        <v>50</v>
      </c>
      <c r="C28" s="4" t="s">
        <v>12</v>
      </c>
      <c r="D28" s="23" t="s">
        <v>91</v>
      </c>
      <c r="E28" s="23" t="s">
        <v>91</v>
      </c>
      <c r="F28" s="5"/>
      <c r="G28" s="5"/>
      <c r="H28" s="5"/>
      <c r="I28" s="5"/>
      <c r="J28" s="6" t="s">
        <v>51</v>
      </c>
    </row>
    <row r="29" spans="1:10" ht="18">
      <c r="A29" s="12" t="s">
        <v>52</v>
      </c>
      <c r="B29" s="3" t="s">
        <v>53</v>
      </c>
      <c r="C29" s="4" t="s">
        <v>12</v>
      </c>
      <c r="D29" s="23" t="s">
        <v>108</v>
      </c>
      <c r="E29" s="5"/>
      <c r="F29" s="5"/>
      <c r="G29" s="5"/>
      <c r="H29" s="5"/>
      <c r="I29" s="5"/>
      <c r="J29" s="6"/>
    </row>
    <row r="30" spans="1:10" ht="18">
      <c r="A30" s="12" t="s">
        <v>52</v>
      </c>
      <c r="B30" s="3" t="s">
        <v>54</v>
      </c>
      <c r="C30" s="4" t="s">
        <v>21</v>
      </c>
      <c r="D30" s="23" t="s">
        <v>107</v>
      </c>
      <c r="E30" s="5"/>
      <c r="F30" s="5"/>
      <c r="G30" s="5"/>
      <c r="H30" s="5"/>
      <c r="I30" s="5"/>
      <c r="J30" s="6"/>
    </row>
    <row r="31" spans="1:10" ht="18">
      <c r="A31" s="12" t="s">
        <v>52</v>
      </c>
      <c r="B31" s="3" t="s">
        <v>55</v>
      </c>
      <c r="C31" s="4" t="s">
        <v>21</v>
      </c>
      <c r="D31" s="23" t="s">
        <v>106</v>
      </c>
      <c r="E31" s="5"/>
      <c r="F31" s="5"/>
      <c r="G31" s="5"/>
      <c r="H31" s="5"/>
      <c r="I31" s="5"/>
      <c r="J31" s="6"/>
    </row>
    <row r="32" spans="1:10">
      <c r="A32" s="12" t="s">
        <v>52</v>
      </c>
      <c r="B32" s="3" t="s">
        <v>56</v>
      </c>
      <c r="C32" s="4" t="s">
        <v>21</v>
      </c>
      <c r="D32" s="5"/>
      <c r="E32" s="5"/>
      <c r="F32" s="5"/>
      <c r="G32" s="5"/>
      <c r="H32" s="5"/>
      <c r="I32" s="5"/>
      <c r="J32" s="6" t="s">
        <v>57</v>
      </c>
    </row>
    <row r="33" spans="1:10">
      <c r="A33" s="13" t="s">
        <v>58</v>
      </c>
      <c r="B33" s="3" t="s">
        <v>59</v>
      </c>
      <c r="C33" s="4" t="s">
        <v>12</v>
      </c>
      <c r="D33" s="5"/>
      <c r="E33" s="5"/>
      <c r="F33" s="5"/>
      <c r="G33" s="5"/>
      <c r="H33" s="5"/>
      <c r="I33" s="5"/>
      <c r="J33" s="6" t="s">
        <v>60</v>
      </c>
    </row>
    <row r="34" spans="1:10">
      <c r="A34" s="13" t="s">
        <v>58</v>
      </c>
      <c r="B34" s="3" t="s">
        <v>61</v>
      </c>
      <c r="C34" s="4" t="s">
        <v>21</v>
      </c>
      <c r="D34" s="5"/>
      <c r="E34" s="5"/>
      <c r="F34" s="5"/>
      <c r="G34" s="5"/>
      <c r="H34" s="5"/>
      <c r="I34" s="5"/>
      <c r="J34" s="6" t="s">
        <v>60</v>
      </c>
    </row>
    <row r="35" spans="1:10">
      <c r="A35" s="13" t="s">
        <v>58</v>
      </c>
      <c r="B35" s="3" t="s">
        <v>62</v>
      </c>
      <c r="C35" s="4" t="s">
        <v>48</v>
      </c>
      <c r="D35" s="5"/>
      <c r="E35" s="5"/>
      <c r="F35" s="5"/>
      <c r="G35" s="5"/>
      <c r="H35" s="5"/>
      <c r="I35" s="5"/>
      <c r="J35" s="6" t="s">
        <v>60</v>
      </c>
    </row>
    <row r="36" spans="1:10">
      <c r="A36" s="14" t="s">
        <v>63</v>
      </c>
      <c r="B36" s="3" t="s">
        <v>64</v>
      </c>
      <c r="C36" s="4" t="s">
        <v>21</v>
      </c>
      <c r="D36" s="5"/>
      <c r="E36" s="5"/>
      <c r="F36" s="5"/>
      <c r="G36" s="5"/>
      <c r="H36" s="5"/>
      <c r="I36" s="5"/>
      <c r="J36" s="6" t="s">
        <v>65</v>
      </c>
    </row>
    <row r="37" spans="1:10">
      <c r="A37" s="14" t="s">
        <v>63</v>
      </c>
      <c r="B37" s="3" t="s">
        <v>66</v>
      </c>
      <c r="C37" s="4" t="s">
        <v>21</v>
      </c>
      <c r="D37" s="5"/>
      <c r="E37" s="5"/>
      <c r="F37" s="5"/>
      <c r="G37" s="5"/>
      <c r="H37" s="5"/>
      <c r="I37" s="5"/>
      <c r="J37" s="6"/>
    </row>
    <row r="38" spans="1:10">
      <c r="A38" s="14" t="s">
        <v>63</v>
      </c>
      <c r="B38" s="3" t="s">
        <v>67</v>
      </c>
      <c r="C38" s="4" t="s">
        <v>21</v>
      </c>
      <c r="D38" s="5"/>
      <c r="E38" s="5"/>
      <c r="F38" s="5"/>
      <c r="G38" s="5"/>
      <c r="H38" s="5"/>
      <c r="I38" s="5"/>
      <c r="J38" s="6"/>
    </row>
    <row r="39" spans="1:10" ht="18">
      <c r="A39" s="14" t="s">
        <v>63</v>
      </c>
      <c r="B39" s="3" t="s">
        <v>68</v>
      </c>
      <c r="C39" s="4" t="s">
        <v>21</v>
      </c>
      <c r="D39" s="23" t="s">
        <v>99</v>
      </c>
      <c r="E39" s="23" t="s">
        <v>98</v>
      </c>
      <c r="F39" s="5"/>
      <c r="G39" s="5"/>
      <c r="H39" s="5"/>
      <c r="I39" s="5"/>
      <c r="J39" s="6"/>
    </row>
    <row r="40" spans="1:10">
      <c r="A40" s="15" t="s">
        <v>69</v>
      </c>
      <c r="B40" s="3" t="s">
        <v>70</v>
      </c>
      <c r="C40" s="4" t="s">
        <v>21</v>
      </c>
      <c r="D40" s="5"/>
      <c r="E40" s="5"/>
      <c r="F40" s="5"/>
      <c r="G40" s="5"/>
      <c r="H40" s="5"/>
      <c r="I40" s="5"/>
      <c r="J40" s="6"/>
    </row>
    <row r="41" spans="1:10" ht="18">
      <c r="A41" s="15" t="s">
        <v>69</v>
      </c>
      <c r="B41" s="3" t="s">
        <v>71</v>
      </c>
      <c r="C41" s="4" t="s">
        <v>21</v>
      </c>
      <c r="D41" s="23" t="s">
        <v>101</v>
      </c>
      <c r="E41" s="5"/>
      <c r="F41" s="5"/>
      <c r="G41" s="5"/>
      <c r="H41" s="5"/>
      <c r="I41" s="5"/>
      <c r="J41" s="6"/>
    </row>
    <row r="42" spans="1:10" ht="16">
      <c r="A42" s="15" t="s">
        <v>69</v>
      </c>
      <c r="B42" s="3" t="s">
        <v>72</v>
      </c>
      <c r="C42" s="4" t="s">
        <v>48</v>
      </c>
      <c r="D42" s="5"/>
      <c r="E42" s="5" t="s">
        <v>100</v>
      </c>
      <c r="F42" s="5"/>
      <c r="G42" s="5"/>
      <c r="H42" s="5"/>
      <c r="I42" s="5"/>
      <c r="J42" s="6"/>
    </row>
    <row r="43" spans="1:10">
      <c r="A43" s="15" t="s">
        <v>69</v>
      </c>
      <c r="B43" s="3" t="s">
        <v>73</v>
      </c>
      <c r="C43" s="4" t="s">
        <v>21</v>
      </c>
      <c r="D43" s="5"/>
      <c r="E43" s="5"/>
      <c r="F43" s="5"/>
      <c r="G43" s="5"/>
      <c r="H43" s="5"/>
      <c r="I43" s="5"/>
      <c r="J43" s="6"/>
    </row>
    <row r="44" spans="1:10">
      <c r="A44" s="15" t="s">
        <v>69</v>
      </c>
      <c r="B44" s="3" t="s">
        <v>74</v>
      </c>
      <c r="C44" s="4"/>
      <c r="D44" s="5"/>
      <c r="E44" s="5"/>
      <c r="F44" s="5"/>
      <c r="G44" s="5"/>
      <c r="H44" s="5"/>
      <c r="I44" s="5"/>
      <c r="J44" s="6" t="s">
        <v>75</v>
      </c>
    </row>
  </sheetData>
  <mergeCells count="2">
    <mergeCell ref="A1:J1"/>
    <mergeCell ref="A2:J2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zoomScaleNormal="100" workbookViewId="0"/>
  </sheetViews>
  <sheetFormatPr baseColWidth="10" defaultColWidth="8.6640625" defaultRowHeight="15"/>
  <cols>
    <col min="1" max="1" width="18" customWidth="1"/>
    <col min="2" max="2" width="8" customWidth="1"/>
    <col min="3" max="6" width="18" customWidth="1"/>
  </cols>
  <sheetData>
    <row r="1" spans="1:7" ht="24" customHeight="1">
      <c r="A1" s="28" t="s">
        <v>76</v>
      </c>
      <c r="B1" s="28"/>
      <c r="C1" s="28"/>
      <c r="D1" s="28"/>
      <c r="E1" s="28"/>
      <c r="F1" s="28"/>
      <c r="G1" s="28"/>
    </row>
    <row r="2" spans="1:7">
      <c r="A2" s="29" t="s">
        <v>77</v>
      </c>
      <c r="B2" s="29"/>
      <c r="C2" s="29"/>
      <c r="D2" s="29"/>
      <c r="E2" s="29"/>
      <c r="F2" s="29"/>
      <c r="G2" s="29"/>
    </row>
    <row r="3" spans="1:7" ht="21.75" customHeight="1">
      <c r="A3" s="16" t="s">
        <v>78</v>
      </c>
      <c r="B3" s="16" t="s">
        <v>79</v>
      </c>
      <c r="C3" s="16" t="s">
        <v>5</v>
      </c>
      <c r="D3" s="16" t="s">
        <v>6</v>
      </c>
      <c r="E3" s="16" t="s">
        <v>7</v>
      </c>
      <c r="F3" s="16" t="s">
        <v>8</v>
      </c>
    </row>
    <row r="4" spans="1:7">
      <c r="A4" s="17" t="s">
        <v>80</v>
      </c>
      <c r="B4" s="18">
        <v>3</v>
      </c>
      <c r="C4" s="19"/>
      <c r="D4" s="19"/>
      <c r="E4" s="19"/>
      <c r="F4" s="19"/>
    </row>
    <row r="5" spans="1:7">
      <c r="A5" s="17" t="s">
        <v>81</v>
      </c>
      <c r="B5" s="18">
        <v>3</v>
      </c>
      <c r="C5" s="19"/>
      <c r="D5" s="19"/>
      <c r="E5" s="19"/>
      <c r="F5" s="19"/>
    </row>
    <row r="6" spans="1:7">
      <c r="A6" s="17" t="s">
        <v>82</v>
      </c>
      <c r="B6" s="18">
        <v>3</v>
      </c>
      <c r="C6" s="19"/>
      <c r="D6" s="19"/>
      <c r="E6" s="19"/>
      <c r="F6" s="19"/>
    </row>
    <row r="7" spans="1:7">
      <c r="A7" s="17" t="s">
        <v>83</v>
      </c>
      <c r="B7" s="18">
        <v>3</v>
      </c>
      <c r="C7" s="19"/>
      <c r="D7" s="19"/>
      <c r="E7" s="19"/>
      <c r="F7" s="19"/>
    </row>
    <row r="8" spans="1:7">
      <c r="A8" s="17" t="s">
        <v>84</v>
      </c>
      <c r="B8" s="18">
        <v>2</v>
      </c>
      <c r="C8" s="19"/>
      <c r="D8" s="19"/>
      <c r="E8" s="19"/>
      <c r="F8" s="19"/>
    </row>
    <row r="9" spans="1:7">
      <c r="A9" s="17" t="s">
        <v>85</v>
      </c>
      <c r="B9" s="18">
        <v>2</v>
      </c>
      <c r="C9" s="19"/>
      <c r="D9" s="19"/>
      <c r="E9" s="19"/>
      <c r="F9" s="19"/>
    </row>
    <row r="10" spans="1:7">
      <c r="A10" s="17" t="s">
        <v>86</v>
      </c>
      <c r="B10" s="18">
        <v>2</v>
      </c>
      <c r="C10" s="19"/>
      <c r="D10" s="19"/>
      <c r="E10" s="19"/>
      <c r="F10" s="19"/>
    </row>
    <row r="11" spans="1:7">
      <c r="A11" s="17" t="s">
        <v>87</v>
      </c>
      <c r="B11" s="18">
        <v>3</v>
      </c>
      <c r="C11" s="19"/>
      <c r="D11" s="19"/>
      <c r="E11" s="19"/>
      <c r="F11" s="19"/>
    </row>
    <row r="12" spans="1:7">
      <c r="A12" s="20" t="s">
        <v>88</v>
      </c>
      <c r="B12" s="21"/>
      <c r="C12" s="22">
        <f>SUMPRODUCT($B$4:$B$11,C4:C11)</f>
        <v>0</v>
      </c>
      <c r="D12" s="22">
        <f>SUMPRODUCT($B$4:$B$11,D4:D11)</f>
        <v>0</v>
      </c>
      <c r="E12" s="22">
        <f>SUMPRODUCT($B$4:$B$11,E4:E11)</f>
        <v>0</v>
      </c>
      <c r="F12" s="22">
        <f>SUMPRODUCT($B$4:$B$11,F4:F11)</f>
        <v>0</v>
      </c>
    </row>
  </sheetData>
  <mergeCells count="2">
    <mergeCell ref="A1:G1"/>
    <mergeCell ref="A2:G2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場地比較</vt:lpstr>
      <vt:lpstr>計分總評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守翔 鄭</cp:lastModifiedBy>
  <cp:revision>0</cp:revision>
  <dcterms:created xsi:type="dcterms:W3CDTF">2026-08-13T14:42:49Z</dcterms:created>
  <dcterms:modified xsi:type="dcterms:W3CDTF">2026-08-16T03:28:16Z</dcterms:modified>
  <dc:language>en-US</dc:language>
</cp:coreProperties>
</file>